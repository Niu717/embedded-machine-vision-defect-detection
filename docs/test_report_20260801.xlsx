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08ac8fcd3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638b1fc49c4239"/>
    <x:sheet xmlns:r="http://schemas.openxmlformats.org/officeDocument/2006/relationships" name="Sample Records" sheetId="2" r:id="Rac0c93626221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0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4"/>
      <x:color rgb="FFFFFFFF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  <x:font>
      <x:sz val="11"/>
      <x:color rgb="FF7F60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DEBF7"/>
      </x:patternFill>
    </x:fill>
    <x:fill>
      <x:patternFill patternType="solid">
        <x:fgColor rgb="FF1F6E8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200" fontId="0" fillId="0" borderId="0" xfId="0" applyNumberFormat="1" applyFont="1" applyFill="1" applyBorder="1"/>
    <x:xf numFmtId="200" fontId="2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2" fillId="5" borderId="1" xfId="0" applyNumberFormat="1" applyFont="1" applyFill="1" applyBorder="1"/>
    <x:xf numFmtId="20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200" fontId="6" fillId="0" borderId="1" xfId="0" applyNumberFormat="1" applyFont="1" applyFill="1" applyBorder="1"/>
    <x:xf numFmtId="0" fontId="7" fillId="5" borderId="1" xfId="0" applyNumberFormat="1" applyFont="1" applyFill="1" applyBorder="1"/>
    <x:xf numFmtId="200" fontId="7" fillId="5" borderId="1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9de48e8bd4202" /><Relationship Type="http://schemas.openxmlformats.org/officeDocument/2006/relationships/theme" Target="/xl/theme/theme1.xml" Id="Rda2bd83da023484b" /><Relationship Type="http://schemas.openxmlformats.org/officeDocument/2006/relationships/sharedStrings" Target="/xl/sharedStrings.xml" Id="Rab457795010b460c" /><Relationship Type="http://schemas.openxmlformats.org/officeDocument/2006/relationships/worksheet" Target="/xl/worksheets/sheet1.xml" Id="R2b638b1fc49c4239" /><Relationship Type="http://schemas.openxmlformats.org/officeDocument/2006/relationships/worksheet" Target="/xl/worksheets/sheet2.xml" Id="Rac0c9362622147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24" t="str">
        <x:v>Workpiece Defect Detection – Test Report (2026-08-01)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26" t="str">
        <x:v>Test object</x:v>
      </x:c>
      <x:c r="B3" s="27" t="str">
        <x:v>Pink plastic bottle cap</x:v>
      </x:c>
      <x:c r="C3" s="25"/>
      <x:c r="D3" s="25"/>
      <x:c r="E3" s="25"/>
      <x:c r="F3" s="25"/>
    </x:row>
    <x:row r="4">
      <x:c r="A4" s="26" t="str">
        <x:v>Test method</x:v>
      </x:c>
      <x:c r="B4" s="27" t="str">
        <x:v>Laptop vision detection + USB-TTL + STM32 alarm/sorting</x:v>
      </x:c>
      <x:c r="C4" s="25"/>
      <x:c r="D4" s="25"/>
      <x:c r="E4" s="25"/>
      <x:c r="F4" s="25"/>
    </x:row>
    <x:row r="5">
      <x:c r="A5" s="26" t="str">
        <x:v>Controlled groups</x:v>
      </x:c>
      <x:c r="B5" s="27" t="str">
        <x:v>10 normal / 10 shape defects / 10 scratch defects</x:v>
      </x:c>
      <x:c r="C5" s="25"/>
      <x:c r="D5" s="25"/>
      <x:c r="E5" s="25"/>
      <x:c r="F5" s="25"/>
    </x:row>
    <x:row r="6">
      <x:c r="A6" s="26" t="str">
        <x:v>Main conclusion</x:v>
      </x:c>
      <x:c r="B6" s="27" t="str">
        <x:v>End-to-end PASS/NG linkage is functional</x:v>
      </x:c>
      <x:c r="C6" s="25"/>
      <x:c r="D6" s="25"/>
      <x:c r="E6" s="25"/>
      <x:c r="F6" s="25"/>
    </x:row>
    <x:row r="7">
      <x:c r="A7" s="25"/>
      <x:c r="B7" s="25"/>
      <x:c r="C7" s="25"/>
      <x:c r="D7" s="25"/>
      <x:c r="E7" s="25"/>
      <x:c r="F7" s="25"/>
    </x:row>
    <x:row r="8">
      <x:c r="A8" s="28" t="str">
        <x:v>Category</x:v>
      </x:c>
      <x:c r="B8" s="28" t="str">
        <x:v>Samples</x:v>
      </x:c>
      <x:c r="C8" s="28" t="str">
        <x:v>Expected PASS</x:v>
      </x:c>
      <x:c r="D8" s="28" t="str">
        <x:v>Expected NG</x:v>
      </x:c>
      <x:c r="E8" s="28" t="str">
        <x:v>Correct</x:v>
      </x:c>
      <x:c r="F8" s="28" t="str">
        <x:v>Binary accuracy</x:v>
      </x:c>
    </x:row>
    <x:row r="9">
      <x:c r="A9" s="29" t="str">
        <x:v>Normal cap</x:v>
      </x:c>
      <x:c r="B9" s="29" t="n">
        <x:v>10</x:v>
      </x:c>
      <x:c r="C9" s="29" t="n">
        <x:v>10</x:v>
      </x:c>
      <x:c r="D9" s="29" t="n">
        <x:v>0</x:v>
      </x:c>
      <x:c r="E9" s="29" t="n">
        <x:v>10</x:v>
      </x:c>
      <x:c r="F9" s="30" t="n">
        <x:f>E9/B9</x:f>
        <x:v>1</x:v>
      </x:c>
    </x:row>
    <x:row r="10">
      <x:c r="A10" s="29" t="str">
        <x:v>Shape defect</x:v>
      </x:c>
      <x:c r="B10" s="29" t="n">
        <x:v>10</x:v>
      </x:c>
      <x:c r="C10" s="29" t="n">
        <x:v>0</x:v>
      </x:c>
      <x:c r="D10" s="29" t="n">
        <x:v>10</x:v>
      </x:c>
      <x:c r="E10" s="29" t="n">
        <x:v>10</x:v>
      </x:c>
      <x:c r="F10" s="30" t="n">
        <x:f>E10/B10</x:f>
        <x:v>1</x:v>
      </x:c>
    </x:row>
    <x:row r="11">
      <x:c r="A11" s="29" t="str">
        <x:v>Scratch defect</x:v>
      </x:c>
      <x:c r="B11" s="29" t="n">
        <x:v>10</x:v>
      </x:c>
      <x:c r="C11" s="29" t="n">
        <x:v>0</x:v>
      </x:c>
      <x:c r="D11" s="29" t="n">
        <x:v>10</x:v>
      </x:c>
      <x:c r="E11" s="29" t="n">
        <x:v>9</x:v>
      </x:c>
      <x:c r="F11" s="30" t="n">
        <x:f>E11/B11</x:f>
        <x:v>0.9</x:v>
      </x:c>
    </x:row>
    <x:row r="12">
      <x:c r="A12" s="31" t="str">
        <x:v>Overall</x:v>
      </x:c>
      <x:c r="B12" s="31" t="n">
        <x:v>30</x:v>
      </x:c>
      <x:c r="C12" s="31"/>
      <x:c r="D12" s="31"/>
      <x:c r="E12" s="31" t="n">
        <x:f>SUM(E9:E11)</x:f>
        <x:v>29</x:v>
      </x:c>
      <x:c r="F12" s="32" t="n">
        <x:f>E12/B12</x:f>
        <x:v>0.9666666666666667</x:v>
      </x:c>
    </x:row>
    <x:row r="13">
      <x:c r="A13" s="25"/>
      <x:c r="B13" s="25"/>
      <x:c r="C13" s="25"/>
      <x:c r="D13" s="25"/>
      <x:c r="E13" s="25"/>
      <x:c r="F13" s="25"/>
    </x:row>
    <x:row r="14" ht="40" customHeight="1">
      <x:c r="A14" s="33" t="str">
        <x:v>Observed exception: sample_20260801_132604.jpg contains a shallow scratch and was judged PASS. It is retained as a false-negative case for later algorithm optimization.</x:v>
      </x:c>
      <x:c r="B14" s="33"/>
      <x:c r="C14" s="33"/>
      <x:c r="D14" s="33"/>
      <x:c r="E14" s="33"/>
      <x:c r="F14" s="33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3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</x:cols>
  <x:sheetData>
    <x:row r="1">
      <x:c r="A1" s="36" t="str">
        <x:v>No.</x:v>
      </x:c>
      <x:c r="B1" s="36" t="str">
        <x:v>Filename</x:v>
      </x:c>
      <x:c r="C1" s="36" t="str">
        <x:v>Ground-truth group</x:v>
      </x:c>
      <x:c r="D1" s="36" t="str">
        <x:v>Expected</x:v>
      </x:c>
      <x:c r="E1" s="36" t="str">
        <x:v>Algorithm result</x:v>
      </x:c>
      <x:c r="F1" s="36" t="str">
        <x:v>Binary evaluation</x:v>
      </x:c>
      <x:c r="G1" s="36" t="str">
        <x:v>Notes</x:v>
      </x:c>
    </x:row>
    <x:row r="2">
      <x:c r="A2" s="38" t="n">
        <x:v>1</x:v>
      </x:c>
      <x:c r="B2" s="38" t="str">
        <x:v>sample_20260801_132216.jpg</x:v>
      </x:c>
      <x:c r="C2" s="38" t="str">
        <x:v>Normal cap</x:v>
      </x:c>
      <x:c r="D2" s="38" t="str">
        <x:v>PASS</x:v>
      </x:c>
      <x:c r="E2" s="38" t="str">
        <x:v>PASS</x:v>
      </x:c>
      <x:c r="F2" s="38" t="str">
        <x:v>Correct</x:v>
      </x:c>
      <x:c r="G2" s="38" t="str"/>
    </x:row>
    <x:row r="3">
      <x:c r="A3" s="38" t="n">
        <x:v>2</x:v>
      </x:c>
      <x:c r="B3" s="38" t="str">
        <x:v>sample_20260801_132233.jpg</x:v>
      </x:c>
      <x:c r="C3" s="38" t="str">
        <x:v>Normal cap</x:v>
      </x:c>
      <x:c r="D3" s="38" t="str">
        <x:v>PASS</x:v>
      </x:c>
      <x:c r="E3" s="38" t="str">
        <x:v>PASS</x:v>
      </x:c>
      <x:c r="F3" s="38" t="str">
        <x:v>Correct</x:v>
      </x:c>
      <x:c r="G3" s="38" t="str"/>
    </x:row>
    <x:row r="4">
      <x:c r="A4" s="38" t="n">
        <x:v>3</x:v>
      </x:c>
      <x:c r="B4" s="38" t="str">
        <x:v>sample_20260801_132241.jpg</x:v>
      </x:c>
      <x:c r="C4" s="38" t="str">
        <x:v>Normal cap</x:v>
      </x:c>
      <x:c r="D4" s="38" t="str">
        <x:v>PASS</x:v>
      </x:c>
      <x:c r="E4" s="38" t="str">
        <x:v>PASS</x:v>
      </x:c>
      <x:c r="F4" s="38" t="str">
        <x:v>Correct</x:v>
      </x:c>
      <x:c r="G4" s="38" t="str"/>
    </x:row>
    <x:row r="5">
      <x:c r="A5" s="38" t="n">
        <x:v>4</x:v>
      </x:c>
      <x:c r="B5" s="38" t="str">
        <x:v>sample_20260801_132254.jpg</x:v>
      </x:c>
      <x:c r="C5" s="38" t="str">
        <x:v>Normal cap</x:v>
      </x:c>
      <x:c r="D5" s="38" t="str">
        <x:v>PASS</x:v>
      </x:c>
      <x:c r="E5" s="38" t="str">
        <x:v>PASS</x:v>
      </x:c>
      <x:c r="F5" s="38" t="str">
        <x:v>Correct</x:v>
      </x:c>
      <x:c r="G5" s="38" t="str"/>
    </x:row>
    <x:row r="6">
      <x:c r="A6" s="38" t="n">
        <x:v>5</x:v>
      </x:c>
      <x:c r="B6" s="38" t="str">
        <x:v>sample_20260801_132301.jpg</x:v>
      </x:c>
      <x:c r="C6" s="38" t="str">
        <x:v>Normal cap</x:v>
      </x:c>
      <x:c r="D6" s="38" t="str">
        <x:v>PASS</x:v>
      </x:c>
      <x:c r="E6" s="38" t="str">
        <x:v>PASS</x:v>
      </x:c>
      <x:c r="F6" s="38" t="str">
        <x:v>Correct</x:v>
      </x:c>
      <x:c r="G6" s="38" t="str"/>
    </x:row>
    <x:row r="7">
      <x:c r="A7" s="38" t="n">
        <x:v>6</x:v>
      </x:c>
      <x:c r="B7" s="38" t="str">
        <x:v>sample_20260801_132308.jpg</x:v>
      </x:c>
      <x:c r="C7" s="38" t="str">
        <x:v>Normal cap</x:v>
      </x:c>
      <x:c r="D7" s="38" t="str">
        <x:v>PASS</x:v>
      </x:c>
      <x:c r="E7" s="38" t="str">
        <x:v>PASS</x:v>
      </x:c>
      <x:c r="F7" s="38" t="str">
        <x:v>Correct</x:v>
      </x:c>
      <x:c r="G7" s="38" t="str"/>
    </x:row>
    <x:row r="8">
      <x:c r="A8" s="38" t="n">
        <x:v>7</x:v>
      </x:c>
      <x:c r="B8" s="38" t="str">
        <x:v>sample_20260801_132314.jpg</x:v>
      </x:c>
      <x:c r="C8" s="38" t="str">
        <x:v>Normal cap</x:v>
      </x:c>
      <x:c r="D8" s="38" t="str">
        <x:v>PASS</x:v>
      </x:c>
      <x:c r="E8" s="38" t="str">
        <x:v>PASS</x:v>
      </x:c>
      <x:c r="F8" s="38" t="str">
        <x:v>Correct</x:v>
      </x:c>
      <x:c r="G8" s="38" t="str"/>
    </x:row>
    <x:row r="9">
      <x:c r="A9" s="38" t="n">
        <x:v>8</x:v>
      </x:c>
      <x:c r="B9" s="38" t="str">
        <x:v>sample_20260801_132320.jpg</x:v>
      </x:c>
      <x:c r="C9" s="38" t="str">
        <x:v>Normal cap</x:v>
      </x:c>
      <x:c r="D9" s="38" t="str">
        <x:v>PASS</x:v>
      </x:c>
      <x:c r="E9" s="38" t="str">
        <x:v>PASS</x:v>
      </x:c>
      <x:c r="F9" s="38" t="str">
        <x:v>Correct</x:v>
      </x:c>
      <x:c r="G9" s="38" t="str"/>
    </x:row>
    <x:row r="10">
      <x:c r="A10" s="38" t="n">
        <x:v>9</x:v>
      </x:c>
      <x:c r="B10" s="38" t="str">
        <x:v>sample_20260801_132327.jpg</x:v>
      </x:c>
      <x:c r="C10" s="38" t="str">
        <x:v>Normal cap</x:v>
      </x:c>
      <x:c r="D10" s="38" t="str">
        <x:v>PASS</x:v>
      </x:c>
      <x:c r="E10" s="38" t="str">
        <x:v>PASS</x:v>
      </x:c>
      <x:c r="F10" s="38" t="str">
        <x:v>Correct</x:v>
      </x:c>
      <x:c r="G10" s="38" t="str"/>
    </x:row>
    <x:row r="11">
      <x:c r="A11" s="38" t="n">
        <x:v>10</x:v>
      </x:c>
      <x:c r="B11" s="38" t="str">
        <x:v>sample_20260801_132333.jpg</x:v>
      </x:c>
      <x:c r="C11" s="38" t="str">
        <x:v>Normal cap</x:v>
      </x:c>
      <x:c r="D11" s="38" t="str">
        <x:v>PASS</x:v>
      </x:c>
      <x:c r="E11" s="38" t="str">
        <x:v>PASS</x:v>
      </x:c>
      <x:c r="F11" s="38" t="str">
        <x:v>Correct</x:v>
      </x:c>
      <x:c r="G11" s="38" t="str"/>
    </x:row>
    <x:row r="12">
      <x:c r="A12" s="38" t="n">
        <x:v>11</x:v>
      </x:c>
      <x:c r="B12" s="38" t="str">
        <x:v>sample_20260801_132349.jpg</x:v>
      </x:c>
      <x:c r="C12" s="38" t="str">
        <x:v>Shape defect</x:v>
      </x:c>
      <x:c r="D12" s="38" t="str">
        <x:v>NG</x:v>
      </x:c>
      <x:c r="E12" s="38" t="str">
        <x:v>FAIL DEFORMATION</x:v>
      </x:c>
      <x:c r="F12" s="38" t="str">
        <x:v>Correct</x:v>
      </x:c>
      <x:c r="G12" s="38" t="str"/>
    </x:row>
    <x:row r="13">
      <x:c r="A13" s="38" t="n">
        <x:v>12</x:v>
      </x:c>
      <x:c r="B13" s="38" t="str">
        <x:v>sample_20260801_132356.jpg</x:v>
      </x:c>
      <x:c r="C13" s="38" t="str">
        <x:v>Shape defect</x:v>
      </x:c>
      <x:c r="D13" s="38" t="str">
        <x:v>NG</x:v>
      </x:c>
      <x:c r="E13" s="38" t="str">
        <x:v>FAIL EDGE</x:v>
      </x:c>
      <x:c r="F13" s="38" t="str">
        <x:v>Correct</x:v>
      </x:c>
      <x:c r="G13" s="38" t="str"/>
    </x:row>
    <x:row r="14">
      <x:c r="A14" s="38" t="n">
        <x:v>13</x:v>
      </x:c>
      <x:c r="B14" s="38" t="str">
        <x:v>sample_20260801_132406.jpg</x:v>
      </x:c>
      <x:c r="C14" s="38" t="str">
        <x:v>Shape defect</x:v>
      </x:c>
      <x:c r="D14" s="38" t="str">
        <x:v>NG</x:v>
      </x:c>
      <x:c r="E14" s="38" t="str">
        <x:v>FAIL EDGE</x:v>
      </x:c>
      <x:c r="F14" s="38" t="str">
        <x:v>Correct</x:v>
      </x:c>
      <x:c r="G14" s="38" t="str"/>
    </x:row>
    <x:row r="15">
      <x:c r="A15" s="38" t="n">
        <x:v>14</x:v>
      </x:c>
      <x:c r="B15" s="38" t="str">
        <x:v>sample_20260801_132435.jpg</x:v>
      </x:c>
      <x:c r="C15" s="38" t="str">
        <x:v>Shape defect</x:v>
      </x:c>
      <x:c r="D15" s="38" t="str">
        <x:v>NG</x:v>
      </x:c>
      <x:c r="E15" s="38" t="str">
        <x:v>FAIL EDGE</x:v>
      </x:c>
      <x:c r="F15" s="38" t="str">
        <x:v>Correct</x:v>
      </x:c>
      <x:c r="G15" s="38" t="str"/>
    </x:row>
    <x:row r="16">
      <x:c r="A16" s="38" t="n">
        <x:v>15</x:v>
      </x:c>
      <x:c r="B16" s="38" t="str">
        <x:v>sample_20260801_132443.jpg</x:v>
      </x:c>
      <x:c r="C16" s="38" t="str">
        <x:v>Shape defect</x:v>
      </x:c>
      <x:c r="D16" s="38" t="str">
        <x:v>NG</x:v>
      </x:c>
      <x:c r="E16" s="38" t="str">
        <x:v>FAIL EDGE</x:v>
      </x:c>
      <x:c r="F16" s="38" t="str">
        <x:v>Correct</x:v>
      </x:c>
      <x:c r="G16" s="38" t="str"/>
    </x:row>
    <x:row r="17">
      <x:c r="A17" s="38" t="n">
        <x:v>16</x:v>
      </x:c>
      <x:c r="B17" s="38" t="str">
        <x:v>sample_20260801_132450.jpg</x:v>
      </x:c>
      <x:c r="C17" s="38" t="str">
        <x:v>Shape defect</x:v>
      </x:c>
      <x:c r="D17" s="38" t="str">
        <x:v>NG</x:v>
      </x:c>
      <x:c r="E17" s="38" t="str">
        <x:v>FAIL EDGE</x:v>
      </x:c>
      <x:c r="F17" s="38" t="str">
        <x:v>Correct</x:v>
      </x:c>
      <x:c r="G17" s="38" t="str"/>
    </x:row>
    <x:row r="18">
      <x:c r="A18" s="38" t="n">
        <x:v>17</x:v>
      </x:c>
      <x:c r="B18" s="38" t="str">
        <x:v>sample_20260801_132456.jpg</x:v>
      </x:c>
      <x:c r="C18" s="38" t="str">
        <x:v>Shape defect</x:v>
      </x:c>
      <x:c r="D18" s="38" t="str">
        <x:v>NG</x:v>
      </x:c>
      <x:c r="E18" s="38" t="str">
        <x:v>FAIL EDGE</x:v>
      </x:c>
      <x:c r="F18" s="38" t="str">
        <x:v>Correct</x:v>
      </x:c>
      <x:c r="G18" s="38" t="str"/>
    </x:row>
    <x:row r="19">
      <x:c r="A19" s="38" t="n">
        <x:v>18</x:v>
      </x:c>
      <x:c r="B19" s="38" t="str">
        <x:v>sample_20260801_132503.jpg</x:v>
      </x:c>
      <x:c r="C19" s="38" t="str">
        <x:v>Shape defect</x:v>
      </x:c>
      <x:c r="D19" s="38" t="str">
        <x:v>NG</x:v>
      </x:c>
      <x:c r="E19" s="38" t="str">
        <x:v>FAIL EDGE</x:v>
      </x:c>
      <x:c r="F19" s="38" t="str">
        <x:v>Correct</x:v>
      </x:c>
      <x:c r="G19" s="38" t="str"/>
    </x:row>
    <x:row r="20">
      <x:c r="A20" s="38" t="n">
        <x:v>19</x:v>
      </x:c>
      <x:c r="B20" s="38" t="str">
        <x:v>sample_20260801_132510.jpg</x:v>
      </x:c>
      <x:c r="C20" s="38" t="str">
        <x:v>Shape defect</x:v>
      </x:c>
      <x:c r="D20" s="38" t="str">
        <x:v>NG</x:v>
      </x:c>
      <x:c r="E20" s="38" t="str">
        <x:v>FAIL DEFORMATION</x:v>
      </x:c>
      <x:c r="F20" s="38" t="str">
        <x:v>Correct</x:v>
      </x:c>
      <x:c r="G20" s="38" t="str"/>
    </x:row>
    <x:row r="21">
      <x:c r="A21" s="38" t="n">
        <x:v>20</x:v>
      </x:c>
      <x:c r="B21" s="38" t="str">
        <x:v>sample_20260801_132518.jpg</x:v>
      </x:c>
      <x:c r="C21" s="38" t="str">
        <x:v>Shape defect</x:v>
      </x:c>
      <x:c r="D21" s="38" t="str">
        <x:v>NG</x:v>
      </x:c>
      <x:c r="E21" s="38" t="str">
        <x:v>FAIL EDGE</x:v>
      </x:c>
      <x:c r="F21" s="38" t="str">
        <x:v>Correct</x:v>
      </x:c>
      <x:c r="G21" s="38" t="str"/>
    </x:row>
    <x:row r="22">
      <x:c r="A22" s="38" t="n">
        <x:v>21</x:v>
      </x:c>
      <x:c r="B22" s="38" t="str">
        <x:v>sample_20260801_132526.jpg</x:v>
      </x:c>
      <x:c r="C22" s="38" t="str">
        <x:v>Scratch defect</x:v>
      </x:c>
      <x:c r="D22" s="38" t="str">
        <x:v>NG</x:v>
      </x:c>
      <x:c r="E22" s="38" t="str">
        <x:v>FAIL SCRATCH</x:v>
      </x:c>
      <x:c r="F22" s="38" t="str">
        <x:v>Correct</x:v>
      </x:c>
      <x:c r="G22" s="38" t="str"/>
    </x:row>
    <x:row r="23">
      <x:c r="A23" s="38" t="n">
        <x:v>22</x:v>
      </x:c>
      <x:c r="B23" s="38" t="str">
        <x:v>sample_20260801_132532.jpg</x:v>
      </x:c>
      <x:c r="C23" s="38" t="str">
        <x:v>Scratch defect</x:v>
      </x:c>
      <x:c r="D23" s="38" t="str">
        <x:v>NG</x:v>
      </x:c>
      <x:c r="E23" s="38" t="str">
        <x:v>FAIL DARK SPOT + SCRATCH</x:v>
      </x:c>
      <x:c r="F23" s="38" t="str">
        <x:v>Correct</x:v>
      </x:c>
      <x:c r="G23" s="38" t="str"/>
    </x:row>
    <x:row r="24">
      <x:c r="A24" s="38" t="n">
        <x:v>23</x:v>
      </x:c>
      <x:c r="B24" s="38" t="str">
        <x:v>sample_20260801_132539.jpg</x:v>
      </x:c>
      <x:c r="C24" s="38" t="str">
        <x:v>Scratch defect</x:v>
      </x:c>
      <x:c r="D24" s="38" t="str">
        <x:v>NG</x:v>
      </x:c>
      <x:c r="E24" s="38" t="str">
        <x:v>FAIL SCRATCH</x:v>
      </x:c>
      <x:c r="F24" s="38" t="str">
        <x:v>Correct</x:v>
      </x:c>
      <x:c r="G24" s="38" t="str"/>
    </x:row>
    <x:row r="25">
      <x:c r="A25" s="38" t="n">
        <x:v>24</x:v>
      </x:c>
      <x:c r="B25" s="38" t="str">
        <x:v>sample_20260801_132545.jpg</x:v>
      </x:c>
      <x:c r="C25" s="38" t="str">
        <x:v>Scratch defect</x:v>
      </x:c>
      <x:c r="D25" s="38" t="str">
        <x:v>NG</x:v>
      </x:c>
      <x:c r="E25" s="38" t="str">
        <x:v>FAIL SCRATCH</x:v>
      </x:c>
      <x:c r="F25" s="38" t="str">
        <x:v>Correct</x:v>
      </x:c>
      <x:c r="G25" s="38" t="str"/>
    </x:row>
    <x:row r="26">
      <x:c r="A26" s="38" t="n">
        <x:v>25</x:v>
      </x:c>
      <x:c r="B26" s="38" t="str">
        <x:v>sample_20260801_132551.jpg</x:v>
      </x:c>
      <x:c r="C26" s="38" t="str">
        <x:v>Scratch defect</x:v>
      </x:c>
      <x:c r="D26" s="38" t="str">
        <x:v>NG</x:v>
      </x:c>
      <x:c r="E26" s="38" t="str">
        <x:v>FAIL SCRATCH</x:v>
      </x:c>
      <x:c r="F26" s="38" t="str">
        <x:v>Correct</x:v>
      </x:c>
      <x:c r="G26" s="38" t="str"/>
    </x:row>
    <x:row r="27">
      <x:c r="A27" s="38" t="n">
        <x:v>26</x:v>
      </x:c>
      <x:c r="B27" s="38" t="str">
        <x:v>sample_20260801_132557.jpg</x:v>
      </x:c>
      <x:c r="C27" s="38" t="str">
        <x:v>Scratch defect</x:v>
      </x:c>
      <x:c r="D27" s="38" t="str">
        <x:v>NG</x:v>
      </x:c>
      <x:c r="E27" s="38" t="str">
        <x:v>FAIL DARK SPOT + SCRATCH</x:v>
      </x:c>
      <x:c r="F27" s="38" t="str">
        <x:v>Correct</x:v>
      </x:c>
      <x:c r="G27" s="38" t="str"/>
    </x:row>
    <x:row r="28">
      <x:c r="A28" s="38" t="n">
        <x:v>27</x:v>
      </x:c>
      <x:c r="B28" s="38" t="str">
        <x:v>sample_20260801_132604.jpg</x:v>
      </x:c>
      <x:c r="C28" s="38" t="str">
        <x:v>Scratch defect</x:v>
      </x:c>
      <x:c r="D28" s="38" t="str">
        <x:v>NG</x:v>
      </x:c>
      <x:c r="E28" s="38" t="str">
        <x:v>PASS</x:v>
      </x:c>
      <x:c r="F28" s="38" t="str">
        <x:v>Incorrect</x:v>
      </x:c>
      <x:c r="G28" s="38" t="str">
        <x:v>Shallow scratch missed; image contrast is weak</x:v>
      </x:c>
    </x:row>
    <x:row r="29">
      <x:c r="A29" s="38" t="n">
        <x:v>28</x:v>
      </x:c>
      <x:c r="B29" s="38" t="str">
        <x:v>sample_20260801_132610.jpg</x:v>
      </x:c>
      <x:c r="C29" s="38" t="str">
        <x:v>Scratch defect</x:v>
      </x:c>
      <x:c r="D29" s="38" t="str">
        <x:v>NG</x:v>
      </x:c>
      <x:c r="E29" s="38" t="str">
        <x:v>FAIL SCRATCH</x:v>
      </x:c>
      <x:c r="F29" s="38" t="str">
        <x:v>Correct</x:v>
      </x:c>
      <x:c r="G29" s="38" t="str"/>
    </x:row>
    <x:row r="30">
      <x:c r="A30" s="38" t="n">
        <x:v>29</x:v>
      </x:c>
      <x:c r="B30" s="38" t="str">
        <x:v>sample_20260801_132616.jpg</x:v>
      </x:c>
      <x:c r="C30" s="38" t="str">
        <x:v>Scratch defect</x:v>
      </x:c>
      <x:c r="D30" s="38" t="str">
        <x:v>NG</x:v>
      </x:c>
      <x:c r="E30" s="38" t="str">
        <x:v>FAIL SCRATCH</x:v>
      </x:c>
      <x:c r="F30" s="38" t="str">
        <x:v>Correct</x:v>
      </x:c>
      <x:c r="G30" s="38" t="str"/>
    </x:row>
    <x:row r="31">
      <x:c r="A31" s="38" t="n">
        <x:v>30</x:v>
      </x:c>
      <x:c r="B31" s="38" t="str">
        <x:v>sample_20260801_132633.jpg</x:v>
      </x:c>
      <x:c r="C31" s="38" t="str">
        <x:v>Scratch defect</x:v>
      </x:c>
      <x:c r="D31" s="38" t="str">
        <x:v>NG</x:v>
      </x:c>
      <x:c r="E31" s="38" t="str">
        <x:v>FAIL SCRATCH</x:v>
      </x:c>
      <x:c r="F31" s="38" t="str">
        <x:v>Correct</x:v>
      </x:c>
      <x:c r="G31" s="38" t="str"/>
    </x:row>
  </x:sheetData>
  <x:conditionalFormatting sqref="F2:F31">
    <x:cfRule type="containsText" dxfId="0" priority="1" operator="containsText" text="Correct"/>
    <x:cfRule type="containsText" dxfId="1" priority="2" operator="containsText" text="Incorrect"/>
  </x:conditionalFormatting>
  <x:pageMargins left="0.7" right="0.7" top="0.75" bottom="0.75" header="0.3" footer="0.3"/>
</x:worksheet>
</file>